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ong\Downloads\"/>
    </mc:Choice>
  </mc:AlternateContent>
  <xr:revisionPtr revIDLastSave="0" documentId="13_ncr:1_{06C7B072-6D82-4312-8493-2B99DC591936}" xr6:coauthVersionLast="47" xr6:coauthVersionMax="47" xr10:uidLastSave="{00000000-0000-0000-0000-000000000000}"/>
  <bookViews>
    <workbookView xWindow="-120" yWindow="-120" windowWidth="29040" windowHeight="15720" activeTab="1" xr2:uid="{934C2861-A747-4240-8F71-C36449D999A6}"/>
  </bookViews>
  <sheets>
    <sheet name="Personal Finance-raw data" sheetId="1" r:id="rId1"/>
    <sheet name="Personal Finance-Report" sheetId="3" r:id="rId2"/>
  </sheets>
  <definedNames>
    <definedName name="_xlnm._FilterDatabase" localSheetId="0" hidden="1">'Personal Finance-raw data'!$A$1:$C$1</definedName>
    <definedName name="_xlnm._FilterDatabase" localSheetId="1" hidden="1">'Personal Finance-Report'!$A$1:$B$1</definedName>
    <definedName name="_xlchart.v2.0" hidden="1">'Personal Finance-Report'!$A$2:$A$6</definedName>
    <definedName name="_xlchart.v2.1" hidden="1">'Personal Finance-Report'!$B$2:$B$6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3" l="1"/>
  <c r="D34" i="3"/>
  <c r="D33" i="3"/>
  <c r="D32" i="3"/>
  <c r="D31" i="3"/>
  <c r="D30" i="3"/>
  <c r="D29" i="3"/>
  <c r="B29" i="3"/>
  <c r="B30" i="3"/>
  <c r="B31" i="3"/>
  <c r="B33" i="3"/>
  <c r="B34" i="3"/>
  <c r="B21" i="3" l="1"/>
  <c r="X1" i="3" s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" i="3" a="1"/>
  <c r="C2" i="3" s="1"/>
  <c r="A25" i="3" l="1"/>
  <c r="B26" i="3"/>
  <c r="C26" i="3"/>
  <c r="D26" i="3"/>
  <c r="A26" i="3"/>
  <c r="C25" i="3"/>
  <c r="B2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<sst xmlns="http://schemas.openxmlformats.org/spreadsheetml/2006/main" count="63" uniqueCount="42">
  <si>
    <t>Category</t>
  </si>
  <si>
    <t>Budget</t>
  </si>
  <si>
    <t>Alcohol &amp; Bars</t>
  </si>
  <si>
    <t>Auto Insurance</t>
  </si>
  <si>
    <t>Coffee Shops</t>
  </si>
  <si>
    <t>Electronics &amp; Software</t>
  </si>
  <si>
    <t>Entertainment</t>
  </si>
  <si>
    <t>Fast Food</t>
  </si>
  <si>
    <t>Gas &amp; Fuel</t>
  </si>
  <si>
    <t>Groceries</t>
  </si>
  <si>
    <t>Haircut</t>
  </si>
  <si>
    <t>Home Improvement</t>
  </si>
  <si>
    <t>Internet</t>
  </si>
  <si>
    <t>Mobile Phone</t>
  </si>
  <si>
    <t>Mortgage &amp; Rent</t>
  </si>
  <si>
    <t>Movies &amp; DVDs</t>
  </si>
  <si>
    <t>Music</t>
  </si>
  <si>
    <t>Restaurants</t>
  </si>
  <si>
    <t>Shopping</t>
  </si>
  <si>
    <t>Television</t>
  </si>
  <si>
    <t>Utilities</t>
  </si>
  <si>
    <t>—</t>
  </si>
  <si>
    <t>High</t>
  </si>
  <si>
    <t>Lower</t>
  </si>
  <si>
    <t>Moderate</t>
  </si>
  <si>
    <t>Budget Classification</t>
  </si>
  <si>
    <t>Total</t>
  </si>
  <si>
    <t>Target</t>
  </si>
  <si>
    <t>Total by Bin</t>
  </si>
  <si>
    <t>Bin Category</t>
  </si>
  <si>
    <t>Bins</t>
  </si>
  <si>
    <t>$0 - $20</t>
  </si>
  <si>
    <t>$20 - $50</t>
  </si>
  <si>
    <t>$50 - $100</t>
  </si>
  <si>
    <t>$100 - $150</t>
  </si>
  <si>
    <t>$150 - $250</t>
  </si>
  <si>
    <t>$250 - $500</t>
  </si>
  <si>
    <t>No budget</t>
  </si>
  <si>
    <t>% distribution</t>
  </si>
  <si>
    <t>Count per Category</t>
  </si>
  <si>
    <t>Observation</t>
  </si>
  <si>
    <t>Data Preparation for Viz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</si>
</sst>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18"/>
      <color theme="1"/>
      <name val="Aptos Narrow"/>
      <family val="2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9" fontId="0" fillId="0" borderId="0" xfId="2" applyFont="1"/>
    <xf numFmtId="44" fontId="0" fillId="0" borderId="0" xfId="1" applyFont="1"/>
    <xf numFmtId="44" fontId="2" fillId="0" borderId="0" xfId="1" applyFont="1"/>
    <xf numFmtId="44" fontId="2" fillId="0" borderId="0" xfId="0" applyNumberFormat="1" applyFont="1"/>
    <xf numFmtId="9" fontId="0" fillId="0" borderId="0" xfId="2" applyFont="1" applyAlignment="1">
      <alignment horizontal="center"/>
    </xf>
    <xf numFmtId="0" fontId="0" fillId="0" borderId="0" xfId="1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2" borderId="0" xfId="0" applyFill="1"/>
    <xf numFmtId="44" fontId="0" fillId="0" borderId="0" xfId="1" applyFont="1" applyFill="1"/>
    <xf numFmtId="0" fontId="5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6" fillId="0" borderId="0" xfId="0" applyFont="1"/>
    <xf numFmtId="0" fontId="3" fillId="0" borderId="0" xfId="0" applyFont="1"/>
    <xf numFmtId="0" fontId="2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Budget</a:t>
            </a:r>
            <a:r>
              <a:rPr lang="es-US" baseline="0"/>
              <a:t> Classification Distribution(%)</a:t>
            </a:r>
            <a:endParaRPr lang="es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>
        <c:manualLayout>
          <c:layoutTarget val="inner"/>
          <c:xMode val="edge"/>
          <c:yMode val="edge"/>
          <c:x val="0.28492099795761061"/>
          <c:y val="0.11819262175561386"/>
          <c:w val="0.45988824883283963"/>
          <c:h val="0.76483577964771565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CF-4EAC-B714-F97945F87770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FA-4F67-8829-3868142813CA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FA-4F67-8829-3868142813CA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1CF-4EAC-B714-F97945F87770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CF-4EAC-B714-F97945F877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'Personal Finance-Report'!$A$24:$D$24</c:f>
              <c:strCache>
                <c:ptCount val="4"/>
                <c:pt idx="0">
                  <c:v>High</c:v>
                </c:pt>
                <c:pt idx="1">
                  <c:v>Moderate</c:v>
                </c:pt>
                <c:pt idx="2">
                  <c:v>Lower</c:v>
                </c:pt>
                <c:pt idx="3">
                  <c:v>No budget</c:v>
                </c:pt>
              </c:strCache>
            </c:strRef>
          </c:cat>
          <c:val>
            <c:numRef>
              <c:f>'Personal Finance-Report'!$A$25:$D$25</c:f>
              <c:numCache>
                <c:formatCode>0%</c:formatCode>
                <c:ptCount val="4"/>
                <c:pt idx="0">
                  <c:v>0.68532267275842373</c:v>
                </c:pt>
                <c:pt idx="1">
                  <c:v>0.22272986864648772</c:v>
                </c:pt>
                <c:pt idx="2">
                  <c:v>9.1947458595088516E-2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F-4EAC-B714-F97945F87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2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Budget</a:t>
            </a:r>
            <a:r>
              <a:rPr lang="es-US" baseline="0"/>
              <a:t> by Range ($) Category</a:t>
            </a:r>
            <a:endParaRPr lang="es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>
        <c:manualLayout>
          <c:layoutTarget val="inner"/>
          <c:xMode val="edge"/>
          <c:yMode val="edge"/>
          <c:x val="3.0593797802809068E-2"/>
          <c:y val="0.17071813939924177"/>
          <c:w val="0.89017067484837231"/>
          <c:h val="0.73614173228346458"/>
        </c:manualLayout>
      </c:layout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D013C68-1844-4A3C-A635-34C812FAD87F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B6F-4313-B9D3-AF6B970CF2C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3F0B39B-4E1C-4CEA-9B0B-0052FC36AD8F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B6F-4313-B9D3-AF6B970CF2C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A7DF041-AD38-4720-8541-8FF4A7F1ED14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B6F-4313-B9D3-AF6B970CF2C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776C740-56C8-444C-8F39-44C3F60DC0EA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1B6F-4313-B9D3-AF6B970CF2C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6CEBFA0-CAA5-4D02-91C3-57839377D546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B6F-4313-B9D3-AF6B970CF2C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BE68035-BE9A-410D-9526-BCBA3B623639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B6F-4313-B9D3-AF6B970CF2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'Personal Finance-Report'!$A$29:$A$34</c:f>
              <c:strCache>
                <c:ptCount val="6"/>
                <c:pt idx="0">
                  <c:v>$0 - $20</c:v>
                </c:pt>
                <c:pt idx="1">
                  <c:v>$20 - $50</c:v>
                </c:pt>
                <c:pt idx="2">
                  <c:v>$50 - $100</c:v>
                </c:pt>
                <c:pt idx="3">
                  <c:v>$100 - $150</c:v>
                </c:pt>
                <c:pt idx="4">
                  <c:v>$150 - $250</c:v>
                </c:pt>
                <c:pt idx="5">
                  <c:v>$250 - $500</c:v>
                </c:pt>
              </c:strCache>
            </c:strRef>
          </c:cat>
          <c:val>
            <c:numRef>
              <c:f>'Personal Finance-Report'!$B$29:$B$34</c:f>
              <c:numCache>
                <c:formatCode>_("$"* #,##0.00_);_("$"* \(#,##0.00\);_("$"* "-"??_);_(@_)</c:formatCode>
                <c:ptCount val="6"/>
                <c:pt idx="0">
                  <c:v>56</c:v>
                </c:pt>
                <c:pt idx="1">
                  <c:v>105</c:v>
                </c:pt>
                <c:pt idx="2">
                  <c:v>390</c:v>
                </c:pt>
                <c:pt idx="3">
                  <c:v>450</c:v>
                </c:pt>
                <c:pt idx="4">
                  <c:v>250</c:v>
                </c:pt>
                <c:pt idx="5">
                  <c:v>500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'Personal Finance-Report'!$D$29:$D$34</c15:f>
                <c15:dlblRangeCache>
                  <c:ptCount val="6"/>
                  <c:pt idx="0">
                    <c:v>4</c:v>
                  </c:pt>
                  <c:pt idx="1">
                    <c:v>3</c:v>
                  </c:pt>
                  <c:pt idx="2">
                    <c:v>10</c:v>
                  </c:pt>
                  <c:pt idx="3">
                    <c:v>3</c:v>
                  </c:pt>
                  <c:pt idx="4">
                    <c:v>1</c:v>
                  </c:pt>
                  <c:pt idx="5">
                    <c:v>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B6F-4313-B9D3-AF6B970CF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"/>
        <c:axId val="1104866912"/>
        <c:axId val="1104866432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'Personal Finance-Report'!$C$29:$C$34</c:f>
              <c:numCache>
                <c:formatCode>General</c:formatCode>
                <c:ptCount val="6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6F-4313-B9D3-AF6B970CF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1551807"/>
        <c:axId val="2011556127"/>
      </c:lineChart>
      <c:catAx>
        <c:axId val="110486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104866432"/>
        <c:crosses val="autoZero"/>
        <c:auto val="1"/>
        <c:lblAlgn val="ctr"/>
        <c:lblOffset val="100"/>
        <c:noMultiLvlLbl val="0"/>
      </c:catAx>
      <c:valAx>
        <c:axId val="1104866432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104866912"/>
        <c:crosses val="autoZero"/>
        <c:crossBetween val="between"/>
      </c:valAx>
      <c:valAx>
        <c:axId val="2011556127"/>
        <c:scaling>
          <c:orientation val="minMax"/>
        </c:scaling>
        <c:delete val="0"/>
        <c:axPos val="r"/>
        <c:numFmt formatCode="_(&quot;$&quot;* #,##0_);_(&quot;$&quot;* \(#,##0\);_(&quot;$&quot;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011551807"/>
        <c:crosses val="max"/>
        <c:crossBetween val="between"/>
      </c:valAx>
      <c:catAx>
        <c:axId val="2011551807"/>
        <c:scaling>
          <c:orientation val="minMax"/>
        </c:scaling>
        <c:delete val="1"/>
        <c:axPos val="b"/>
        <c:majorTickMark val="out"/>
        <c:minorTickMark val="none"/>
        <c:tickLblPos val="nextTo"/>
        <c:crossAx val="20115561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5389479631691852E-2"/>
          <c:y val="0.14351851851851852"/>
          <c:w val="0.370822003093009"/>
          <c:h val="8.2177378041859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Budget Classification vs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CC528E6-A3D3-4779-9CED-9905C664A611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F3F-4393-9A0F-A3AF0D52155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8FFA6B3-83FE-4080-9E72-02D31A550A4A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F3F-4393-9A0F-A3AF0D52155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D854F3C-BD12-4DB5-A2F2-DFC7BB127252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F3F-4393-9A0F-A3AF0D52155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551215F-524E-4CAC-B0EF-627791C86B7B}" type="CELLRANGE">
                      <a:rPr lang="en-US"/>
                      <a:pPr/>
                      <a:t>[CELLRANGE]</a:t>
                    </a:fld>
                    <a:endParaRPr lang="es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F3F-4393-9A0F-A3AF0D5215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'Personal Finance-Report'!$A$24:$D$24</c:f>
              <c:strCache>
                <c:ptCount val="4"/>
                <c:pt idx="0">
                  <c:v>High</c:v>
                </c:pt>
                <c:pt idx="1">
                  <c:v>Moderate</c:v>
                </c:pt>
                <c:pt idx="2">
                  <c:v>Lower</c:v>
                </c:pt>
                <c:pt idx="3">
                  <c:v>No budget</c:v>
                </c:pt>
              </c:strCache>
            </c:strRef>
          </c:cat>
          <c:val>
            <c:numRef>
              <c:f>'Personal Finance-Report'!$A$26:$D$26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'Personal Finance-Report'!$A$26:$D$26</c15:f>
                <c15:dlblRangeCache>
                  <c:ptCount val="4"/>
                  <c:pt idx="0">
                    <c:v>5</c:v>
                  </c:pt>
                  <c:pt idx="1">
                    <c:v>5</c:v>
                  </c:pt>
                  <c:pt idx="2">
                    <c:v>7</c:v>
                  </c:pt>
                  <c:pt idx="3">
                    <c:v>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F3F-4393-9A0F-A3AF0D521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-27"/>
        <c:axId val="2015898191"/>
        <c:axId val="2015895791"/>
      </c:barChart>
      <c:catAx>
        <c:axId val="201589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015895791"/>
        <c:crosses val="autoZero"/>
        <c:auto val="1"/>
        <c:lblAlgn val="ctr"/>
        <c:lblOffset val="100"/>
        <c:noMultiLvlLbl val="0"/>
      </c:catAx>
      <c:valAx>
        <c:axId val="20158957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1589819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Top 5  Budget by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Top 5  Budget by Category</a:t>
          </a:r>
        </a:p>
      </cx:txPr>
    </cx:title>
    <cx:plotArea>
      <cx:plotAreaRegion>
        <cx:series layoutId="funnel" uniqueId="{4FA5B4EC-6E42-4E5A-835B-F8BB4460F59B}">
          <cx:dataLabels>
            <cx:visibility seriesName="0" categoryName="1" value="1"/>
            <cx:separator>, </cx:separator>
          </cx:dataLabels>
          <cx:dataId val="0"/>
        </cx:series>
      </cx:plotAreaRegion>
      <cx:axis id="0" hidden="1">
        <cx:catScaling gapWidth="0.699999988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0</xdr:row>
      <xdr:rowOff>66675</xdr:rowOff>
    </xdr:from>
    <xdr:to>
      <xdr:col>21</xdr:col>
      <xdr:colOff>152400</xdr:colOff>
      <xdr:row>2</xdr:row>
      <xdr:rowOff>38100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4F1FB78-2918-A0A6-E174-466AADC21F91}"/>
            </a:ext>
          </a:extLst>
        </xdr:cNvPr>
        <xdr:cNvSpPr/>
      </xdr:nvSpPr>
      <xdr:spPr>
        <a:xfrm>
          <a:off x="4933950" y="66675"/>
          <a:ext cx="9610725" cy="495300"/>
        </a:xfrm>
        <a:prstGeom prst="roundRect">
          <a:avLst/>
        </a:prstGeom>
        <a:gradFill flip="none" rotWithShape="1">
          <a:gsLst>
            <a:gs pos="0">
              <a:schemeClr val="accent4">
                <a:shade val="30000"/>
                <a:satMod val="115000"/>
              </a:schemeClr>
            </a:gs>
            <a:gs pos="50000">
              <a:schemeClr val="accent4">
                <a:shade val="67500"/>
                <a:satMod val="115000"/>
              </a:schemeClr>
            </a:gs>
            <a:gs pos="100000">
              <a:schemeClr val="accent4">
                <a:shade val="100000"/>
                <a:satMod val="115000"/>
              </a:schemeClr>
            </a:gs>
          </a:gsLst>
          <a:lin ang="8100000" scaled="1"/>
          <a:tileRect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US" sz="1100"/>
        </a:p>
      </xdr:txBody>
    </xdr:sp>
    <xdr:clientData/>
  </xdr:twoCellAnchor>
  <xdr:twoCellAnchor>
    <xdr:from>
      <xdr:col>14</xdr:col>
      <xdr:colOff>342901</xdr:colOff>
      <xdr:row>2</xdr:row>
      <xdr:rowOff>156209</xdr:rowOff>
    </xdr:from>
    <xdr:to>
      <xdr:col>21</xdr:col>
      <xdr:colOff>0</xdr:colOff>
      <xdr:row>16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05F72D-83DA-9D2B-1DE2-08B872E0A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87631</xdr:colOff>
      <xdr:row>17</xdr:row>
      <xdr:rowOff>182881</xdr:rowOff>
    </xdr:from>
    <xdr:to>
      <xdr:col>12</xdr:col>
      <xdr:colOff>9525</xdr:colOff>
      <xdr:row>31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28D5B9-CB4F-00AE-D2BF-5852716A6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120015</xdr:colOff>
      <xdr:row>2</xdr:row>
      <xdr:rowOff>110490</xdr:rowOff>
    </xdr:from>
    <xdr:to>
      <xdr:col>12</xdr:col>
      <xdr:colOff>1</xdr:colOff>
      <xdr:row>16</xdr:row>
      <xdr:rowOff>142876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D7EF48-0F1F-F099-0BE0-9E5051ECD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333375</xdr:colOff>
      <xdr:row>17</xdr:row>
      <xdr:rowOff>171449</xdr:rowOff>
    </xdr:from>
    <xdr:to>
      <xdr:col>21</xdr:col>
      <xdr:colOff>9525</xdr:colOff>
      <xdr:row>30</xdr:row>
      <xdr:rowOff>161924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498F79BC-33AE-E76B-B7DE-2C418E7E45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58450" y="3552824"/>
              <a:ext cx="394335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10</xdr:col>
      <xdr:colOff>220246</xdr:colOff>
      <xdr:row>0</xdr:row>
      <xdr:rowOff>12166</xdr:rowOff>
    </xdr:from>
    <xdr:ext cx="4322017" cy="593239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07BCA94-E4D9-2549-E326-98A98EF6D30D}"/>
            </a:ext>
          </a:extLst>
        </xdr:cNvPr>
        <xdr:cNvSpPr/>
      </xdr:nvSpPr>
      <xdr:spPr>
        <a:xfrm>
          <a:off x="7906921" y="12166"/>
          <a:ext cx="4322017" cy="59323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32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rPr>
            <a:t>Personal Finance Report</a:t>
          </a:r>
        </a:p>
      </xdr:txBody>
    </xdr:sp>
    <xdr:clientData/>
  </xdr:oneCellAnchor>
  <xdr:twoCellAnchor>
    <xdr:from>
      <xdr:col>12</xdr:col>
      <xdr:colOff>57149</xdr:colOff>
      <xdr:row>14</xdr:row>
      <xdr:rowOff>104774</xdr:rowOff>
    </xdr:from>
    <xdr:to>
      <xdr:col>14</xdr:col>
      <xdr:colOff>295274</xdr:colOff>
      <xdr:row>19</xdr:row>
      <xdr:rowOff>19049</xdr:rowOff>
    </xdr:to>
    <xdr:sp macro="" textlink="$X$1">
      <xdr:nvSpPr>
        <xdr:cNvPr id="11" name="TextBox 10">
          <a:extLst>
            <a:ext uri="{FF2B5EF4-FFF2-40B4-BE49-F238E27FC236}">
              <a16:creationId xmlns:a16="http://schemas.microsoft.com/office/drawing/2014/main" id="{87E4F8A4-3C75-FB71-17C4-8465FA005E6B}"/>
            </a:ext>
          </a:extLst>
        </xdr:cNvPr>
        <xdr:cNvSpPr txBox="1"/>
      </xdr:nvSpPr>
      <xdr:spPr>
        <a:xfrm>
          <a:off x="8963024" y="2914649"/>
          <a:ext cx="1457325" cy="866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614C9BF-7F69-43FE-AE15-06C14E09A621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 algn="ctr"/>
            <a:t>Total Budget $1,751</a:t>
          </a:fld>
          <a:endParaRPr lang="es-US" sz="18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E8265-EE83-4349-B892-C9A2FE6A4DB2}">
  <dimension ref="A1:C24"/>
  <sheetViews>
    <sheetView workbookViewId="0"/>
  </sheetViews>
  <sheetFormatPr defaultRowHeight="15" x14ac:dyDescent="0.25"/>
  <cols>
    <col min="1" max="1" width="21.7109375" customWidth="1"/>
    <col min="3" max="3" width="12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14</v>
      </c>
      <c r="B2">
        <v>500</v>
      </c>
      <c r="C2" s="2"/>
    </row>
    <row r="3" spans="1:3" x14ac:dyDescent="0.25">
      <c r="A3" t="s">
        <v>11</v>
      </c>
      <c r="B3">
        <v>250</v>
      </c>
      <c r="C3" s="2"/>
    </row>
    <row r="4" spans="1:3" x14ac:dyDescent="0.25">
      <c r="A4" t="s">
        <v>9</v>
      </c>
      <c r="B4">
        <v>150</v>
      </c>
      <c r="C4" s="2"/>
    </row>
    <row r="5" spans="1:3" x14ac:dyDescent="0.25">
      <c r="A5" t="s">
        <v>17</v>
      </c>
      <c r="B5">
        <v>150</v>
      </c>
      <c r="C5" s="2"/>
    </row>
    <row r="6" spans="1:3" x14ac:dyDescent="0.25">
      <c r="A6" t="s">
        <v>20</v>
      </c>
      <c r="B6">
        <v>150</v>
      </c>
      <c r="C6" s="2"/>
    </row>
    <row r="7" spans="1:3" x14ac:dyDescent="0.25">
      <c r="A7" t="s">
        <v>18</v>
      </c>
      <c r="B7">
        <v>100</v>
      </c>
      <c r="C7" s="2"/>
    </row>
    <row r="8" spans="1:3" x14ac:dyDescent="0.25">
      <c r="A8" t="s">
        <v>3</v>
      </c>
      <c r="B8">
        <v>75</v>
      </c>
      <c r="C8" s="2"/>
    </row>
    <row r="9" spans="1:3" x14ac:dyDescent="0.25">
      <c r="A9" t="s">
        <v>8</v>
      </c>
      <c r="B9">
        <v>75</v>
      </c>
      <c r="C9" s="2"/>
    </row>
    <row r="10" spans="1:3" x14ac:dyDescent="0.25">
      <c r="A10" t="s">
        <v>12</v>
      </c>
      <c r="B10">
        <v>75</v>
      </c>
      <c r="C10" s="2"/>
    </row>
    <row r="11" spans="1:3" x14ac:dyDescent="0.25">
      <c r="A11" t="s">
        <v>13</v>
      </c>
      <c r="B11">
        <v>65</v>
      </c>
      <c r="C11" s="2"/>
    </row>
    <row r="12" spans="1:3" x14ac:dyDescent="0.25">
      <c r="A12" t="s">
        <v>2</v>
      </c>
      <c r="B12">
        <v>50</v>
      </c>
      <c r="C12" s="2"/>
    </row>
    <row r="13" spans="1:3" x14ac:dyDescent="0.25">
      <c r="A13" t="s">
        <v>10</v>
      </c>
      <c r="B13">
        <v>30</v>
      </c>
      <c r="C13" s="2"/>
    </row>
    <row r="14" spans="1:3" x14ac:dyDescent="0.25">
      <c r="A14" t="s">
        <v>6</v>
      </c>
      <c r="B14">
        <v>25</v>
      </c>
      <c r="C14" s="2"/>
    </row>
    <row r="15" spans="1:3" x14ac:dyDescent="0.25">
      <c r="A15" t="s">
        <v>4</v>
      </c>
      <c r="B15">
        <v>15</v>
      </c>
      <c r="C15" s="2"/>
    </row>
    <row r="16" spans="1:3" x14ac:dyDescent="0.25">
      <c r="A16" t="s">
        <v>7</v>
      </c>
      <c r="B16">
        <v>15</v>
      </c>
      <c r="C16" s="2"/>
    </row>
    <row r="17" spans="1:3" x14ac:dyDescent="0.25">
      <c r="A17" t="s">
        <v>19</v>
      </c>
      <c r="B17">
        <v>15</v>
      </c>
      <c r="C17" s="2"/>
    </row>
    <row r="18" spans="1:3" x14ac:dyDescent="0.25">
      <c r="A18" t="s">
        <v>16</v>
      </c>
      <c r="B18">
        <v>11</v>
      </c>
      <c r="C18" s="2"/>
    </row>
    <row r="19" spans="1:3" x14ac:dyDescent="0.25">
      <c r="A19" t="s">
        <v>5</v>
      </c>
      <c r="B19">
        <v>0</v>
      </c>
      <c r="C19" s="2"/>
    </row>
    <row r="20" spans="1:3" x14ac:dyDescent="0.25">
      <c r="A20" t="s">
        <v>15</v>
      </c>
      <c r="B20">
        <v>0</v>
      </c>
      <c r="C20" s="2"/>
    </row>
    <row r="24" spans="1:3" x14ac:dyDescent="0.25">
      <c r="A24" s="1" t="s">
        <v>21</v>
      </c>
    </row>
  </sheetData>
  <autoFilter ref="A1:C1" xr:uid="{D6DE8265-EE83-4349-B892-C9A2FE6A4DB2}"/>
  <sortState xmlns:xlrd2="http://schemas.microsoft.com/office/spreadsheetml/2017/richdata2" ref="A2:C20">
    <sortCondition descending="1" ref="B2:B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029-1DBE-4AE7-9748-0DB63D205376}">
  <dimension ref="A1:X38"/>
  <sheetViews>
    <sheetView tabSelected="1" zoomScaleNormal="100" workbookViewId="0">
      <selection activeCell="D7" sqref="D7"/>
    </sheetView>
  </sheetViews>
  <sheetFormatPr defaultRowHeight="15" x14ac:dyDescent="0.25"/>
  <cols>
    <col min="1" max="1" width="21.7109375" customWidth="1"/>
    <col min="2" max="2" width="10.5703125" bestFit="1" customWidth="1"/>
    <col min="3" max="5" width="12" bestFit="1" customWidth="1"/>
    <col min="6" max="6" width="5.28515625" customWidth="1"/>
    <col min="7" max="7" width="14.28515625" bestFit="1" customWidth="1"/>
    <col min="22" max="22" width="2.7109375" style="9" customWidth="1"/>
  </cols>
  <sheetData>
    <row r="1" spans="1:24" x14ac:dyDescent="0.25">
      <c r="A1" t="s">
        <v>0</v>
      </c>
      <c r="B1" t="s">
        <v>1</v>
      </c>
      <c r="C1" t="s">
        <v>25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X1" s="14" t="str">
        <f>"Total Budget "&amp;TEXT(B21,"$0,00")</f>
        <v>Total Budget $1,751</v>
      </c>
    </row>
    <row r="2" spans="1:24" ht="26.25" x14ac:dyDescent="0.4">
      <c r="A2" t="s">
        <v>14</v>
      </c>
      <c r="B2" s="3">
        <v>500</v>
      </c>
      <c r="C2" t="str" cm="1">
        <f t="array" ref="C2">IFERROR(_xlfn.IFS(AND(B2&gt;0,B2&lt;=50),"Lower",AND(B2&gt;50,B2&lt;=100),"Moderate",B2&gt;100,"High"),"No budget")</f>
        <v>High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X2" s="13"/>
    </row>
    <row r="3" spans="1:24" x14ac:dyDescent="0.25">
      <c r="A3" t="s">
        <v>11</v>
      </c>
      <c r="B3" s="3">
        <v>250</v>
      </c>
      <c r="C3" t="str" cm="1">
        <f t="array" ref="C3">IFERROR(_xlfn.IFS(AND(B3&gt;0,B3&lt;=50),"Lower",AND(B3&gt;50,B3&lt;=100),"Moderate",B3&gt;100,"High"),"No budget")</f>
        <v>High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4" x14ac:dyDescent="0.25">
      <c r="A4" t="s">
        <v>9</v>
      </c>
      <c r="B4" s="3">
        <v>150</v>
      </c>
      <c r="C4" t="str" cm="1">
        <f t="array" ref="C4">IFERROR(_xlfn.IFS(AND(B4&gt;0,B4&lt;=50),"Lower",AND(B4&gt;50,B4&lt;=100),"Moderate",B4&gt;100,"High"),"No budget")</f>
        <v>High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4" x14ac:dyDescent="0.25">
      <c r="A5" t="s">
        <v>17</v>
      </c>
      <c r="B5" s="3">
        <v>150</v>
      </c>
      <c r="C5" t="str" cm="1">
        <f t="array" ref="C5">IFERROR(_xlfn.IFS(AND(B5&gt;0,B5&lt;=50),"Lower",AND(B5&gt;50,B5&lt;=100),"Moderate",B5&gt;100,"High"),"No budget")</f>
        <v>High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4" x14ac:dyDescent="0.25">
      <c r="A6" t="s">
        <v>20</v>
      </c>
      <c r="B6" s="3">
        <v>150</v>
      </c>
      <c r="C6" t="str" cm="1">
        <f t="array" ref="C6">IFERROR(_xlfn.IFS(AND(B6&gt;0,B6&lt;=50),"Lower",AND(B6&gt;50,B6&lt;=100),"Moderate",B6&gt;100,"High"),"No budget")</f>
        <v>High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4" x14ac:dyDescent="0.25">
      <c r="A7" t="s">
        <v>18</v>
      </c>
      <c r="B7" s="3">
        <v>100</v>
      </c>
      <c r="C7" t="str" cm="1">
        <f t="array" ref="C7">IFERROR(_xlfn.IFS(AND(B7&gt;0,B7&lt;=50),"Lower",AND(B7&gt;50,B7&lt;=100),"Moderate",B7&gt;100,"High"),"No budget")</f>
        <v>Moderate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4" x14ac:dyDescent="0.25">
      <c r="A8" t="s">
        <v>3</v>
      </c>
      <c r="B8" s="3">
        <v>75</v>
      </c>
      <c r="C8" t="str" cm="1">
        <f t="array" ref="C8">IFERROR(_xlfn.IFS(AND(B8&gt;0,B8&lt;=50),"Lower",AND(B8&gt;50,B8&lt;=100),"Moderate",B8&gt;100,"High"),"No budget")</f>
        <v>Moderate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4" x14ac:dyDescent="0.25">
      <c r="A9" t="s">
        <v>8</v>
      </c>
      <c r="B9" s="3">
        <v>75</v>
      </c>
      <c r="C9" t="str" cm="1">
        <f t="array" ref="C9">IFERROR(_xlfn.IFS(AND(B9&gt;0,B9&lt;=50),"Lower",AND(B9&gt;50,B9&lt;=100),"Moderate",B9&gt;100,"High"),"No budget")</f>
        <v>Moderate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4" x14ac:dyDescent="0.25">
      <c r="A10" t="s">
        <v>12</v>
      </c>
      <c r="B10" s="3">
        <v>75</v>
      </c>
      <c r="C10" t="str" cm="1">
        <f t="array" ref="C10">IFERROR(_xlfn.IFS(AND(B10&gt;0,B10&lt;=50),"Lower",AND(B10&gt;50,B10&lt;=100),"Moderate",B10&gt;100,"High"),"No budget")</f>
        <v>Moderate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4" x14ac:dyDescent="0.25">
      <c r="A11" t="s">
        <v>13</v>
      </c>
      <c r="B11" s="3">
        <v>65</v>
      </c>
      <c r="C11" t="str" cm="1">
        <f t="array" ref="C11">IFERROR(_xlfn.IFS(AND(B11&gt;0,B11&lt;=50),"Lower",AND(B11&gt;50,B11&lt;=100),"Moderate",B11&gt;100,"High"),"No budget")</f>
        <v>Moderate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4" x14ac:dyDescent="0.25">
      <c r="A12" t="s">
        <v>2</v>
      </c>
      <c r="B12" s="3">
        <v>50</v>
      </c>
      <c r="C12" t="str" cm="1">
        <f t="array" ref="C12">IFERROR(_xlfn.IFS(AND(B12&gt;0,B12&lt;=50),"Lower",AND(B12&gt;50,B12&lt;=100),"Moderate",B12&gt;100,"High"),"No budget")</f>
        <v>Lower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4" x14ac:dyDescent="0.25">
      <c r="A13" t="s">
        <v>10</v>
      </c>
      <c r="B13" s="3">
        <v>30</v>
      </c>
      <c r="C13" t="str" cm="1">
        <f t="array" ref="C13">IFERROR(_xlfn.IFS(AND(B13&gt;0,B13&lt;=50),"Lower",AND(B13&gt;50,B13&lt;=100),"Moderate",B13&gt;100,"High"),"No budget")</f>
        <v>Lower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4" x14ac:dyDescent="0.25">
      <c r="A14" t="s">
        <v>6</v>
      </c>
      <c r="B14" s="3">
        <v>25</v>
      </c>
      <c r="C14" t="str" cm="1">
        <f t="array" ref="C14">IFERROR(_xlfn.IFS(AND(B14&gt;0,B14&lt;=50),"Lower",AND(B14&gt;50,B14&lt;=100),"Moderate",B14&gt;100,"High"),"No budget")</f>
        <v>Lower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4" x14ac:dyDescent="0.25">
      <c r="A15" t="s">
        <v>4</v>
      </c>
      <c r="B15" s="3">
        <v>15</v>
      </c>
      <c r="C15" t="str" cm="1">
        <f t="array" ref="C15">IFERROR(_xlfn.IFS(AND(B15&gt;0,B15&lt;=50),"Lower",AND(B15&gt;50,B15&lt;=100),"Moderate",B15&gt;100,"High"),"No budget")</f>
        <v>Lower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4" x14ac:dyDescent="0.25">
      <c r="A16" t="s">
        <v>7</v>
      </c>
      <c r="B16" s="3">
        <v>15</v>
      </c>
      <c r="C16" t="str" cm="1">
        <f t="array" ref="C16">IFERROR(_xlfn.IFS(AND(B16&gt;0,B16&lt;=50),"Lower",AND(B16&gt;50,B16&lt;=100),"Moderate",B16&gt;100,"High"),"No budget")</f>
        <v>Lower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x14ac:dyDescent="0.25">
      <c r="A17" t="s">
        <v>19</v>
      </c>
      <c r="B17" s="3">
        <v>15</v>
      </c>
      <c r="C17" t="str" cm="1">
        <f t="array" ref="C17">IFERROR(_xlfn.IFS(AND(B17&gt;0,B17&lt;=50),"Lower",AND(B17&gt;50,B17&lt;=100),"Moderate",B17&gt;100,"High"),"No budget")</f>
        <v>Lower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x14ac:dyDescent="0.25">
      <c r="A18" t="s">
        <v>16</v>
      </c>
      <c r="B18" s="10">
        <v>11</v>
      </c>
      <c r="C18" t="str" cm="1">
        <f t="array" ref="C18">IFERROR(_xlfn.IFS(AND(B18&gt;0,B18&lt;=50),"Lower",AND(B18&gt;50,B18&lt;=100),"Moderate",B18&gt;100,"High"),"No budget")</f>
        <v>Lower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x14ac:dyDescent="0.25">
      <c r="A19" t="s">
        <v>5</v>
      </c>
      <c r="B19" s="3">
        <v>0</v>
      </c>
      <c r="C19" t="str" cm="1">
        <f t="array" ref="C19">IFERROR(_xlfn.IFS(AND(B19&gt;0,B19&lt;=50),"Lower",AND(B19&gt;50,B19&lt;=100),"Moderate",B19&gt;100,"High"),"No budget")</f>
        <v>No budget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x14ac:dyDescent="0.25">
      <c r="A20" t="s">
        <v>15</v>
      </c>
      <c r="B20" s="3">
        <v>0</v>
      </c>
      <c r="C20" t="str" cm="1">
        <f t="array" ref="C20">IFERROR(_xlfn.IFS(AND(B20&gt;0,B20&lt;=50),"Lower",AND(B20&gt;50,B20&lt;=100),"Moderate",B20&gt;100,"High"),"No budget")</f>
        <v>No budget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x14ac:dyDescent="0.25">
      <c r="A21" t="s">
        <v>26</v>
      </c>
      <c r="B21" s="4">
        <f>SUBTOTAL(9,B2:B20)</f>
        <v>1751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x14ac:dyDescent="0.25"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24" x14ac:dyDescent="0.4">
      <c r="A23" s="11" t="s">
        <v>41</v>
      </c>
      <c r="B23" s="12"/>
      <c r="C23" s="12"/>
      <c r="D23" s="12"/>
      <c r="E23" s="12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x14ac:dyDescent="0.25">
      <c r="A24" s="15" t="s">
        <v>22</v>
      </c>
      <c r="B24" s="15" t="s">
        <v>24</v>
      </c>
      <c r="C24" s="15" t="s">
        <v>23</v>
      </c>
      <c r="D24" s="15" t="s">
        <v>37</v>
      </c>
      <c r="E24" s="15" t="s">
        <v>40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x14ac:dyDescent="0.25">
      <c r="A25" s="6">
        <f>SUMIF($C$2:$C$20,A$24,$B$2:$B$20)/$B$21</f>
        <v>0.68532267275842373</v>
      </c>
      <c r="B25" s="6">
        <f>SUMIF($C$2:$C$20,B$24,$B$2:$B$20)/$B$21</f>
        <v>0.22272986864648772</v>
      </c>
      <c r="C25" s="6">
        <f>SUMIF($C$2:$C$20,C$24,$B$2:$B$20)/$B$21</f>
        <v>9.1947458595088516E-2</v>
      </c>
      <c r="D25" s="8">
        <v>0</v>
      </c>
      <c r="E25" t="s">
        <v>38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x14ac:dyDescent="0.25">
      <c r="A26" s="7">
        <f>COUNTIF($C$2:$C$20,A$24)</f>
        <v>5</v>
      </c>
      <c r="B26" s="7">
        <f>COUNTIF($C$2:$C$20,B$24)</f>
        <v>5</v>
      </c>
      <c r="C26" s="7">
        <f>COUNTIF($C$2:$C$20,C$24)</f>
        <v>7</v>
      </c>
      <c r="D26" s="7">
        <f>COUNTIF($C$2:$C$20,D$24)</f>
        <v>2</v>
      </c>
      <c r="E26" t="s">
        <v>39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x14ac:dyDescent="0.25"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x14ac:dyDescent="0.25">
      <c r="A28" s="15" t="s">
        <v>30</v>
      </c>
      <c r="B28" s="15" t="s">
        <v>28</v>
      </c>
      <c r="C28" s="15" t="s">
        <v>27</v>
      </c>
      <c r="D28" s="15" t="s">
        <v>29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x14ac:dyDescent="0.25">
      <c r="A29" t="s">
        <v>31</v>
      </c>
      <c r="B29" s="10">
        <f t="shared" ref="B29" si="0">SUMIFS($B$2:$B$20,$B$2:$B$20,"&gt;"&amp;0,$B$2:$B$20,"&lt;="&amp;20)</f>
        <v>56</v>
      </c>
      <c r="C29">
        <v>500</v>
      </c>
      <c r="D29">
        <f t="shared" ref="D29" si="1">COUNTIFS($B$2:$B$20,"&gt;"&amp;0,$B$2:$B$20,"&lt;="&amp;20)</f>
        <v>4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x14ac:dyDescent="0.25">
      <c r="A30" t="s">
        <v>32</v>
      </c>
      <c r="B30" s="3">
        <f>SUMIFS($B$2:$B$20,$B$2:$B$20,"&gt;"&amp;20,$B$2:$B$20,"&lt;="&amp;50)</f>
        <v>105</v>
      </c>
      <c r="C30">
        <v>500</v>
      </c>
      <c r="D30">
        <f>COUNTIFS($B$2:$B$20,"&gt;"&amp;20,$B$2:$B$20,"&lt;="&amp;50)</f>
        <v>3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x14ac:dyDescent="0.25">
      <c r="A31" t="s">
        <v>33</v>
      </c>
      <c r="B31" s="3">
        <f>SUMIFS($B$2:$B$20,$B$2:$B$20,"&gt;"&amp;50,$B$2:$B$20,"&lt;="&amp;100)</f>
        <v>390</v>
      </c>
      <c r="C31">
        <v>500</v>
      </c>
      <c r="D31">
        <f>COUNTIFS($B$2:$B$20,"&gt;"&amp;50,$B$2:$B$20,"&lt;="&amp;1000)</f>
        <v>10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x14ac:dyDescent="0.25">
      <c r="A32" t="s">
        <v>34</v>
      </c>
      <c r="B32" s="3">
        <f>SUMIFS($B$2:$B$20,$B$2:$B$20,"&gt;"&amp;100,$B$2:$B$20,"&lt;="&amp;150)</f>
        <v>450</v>
      </c>
      <c r="C32">
        <v>500</v>
      </c>
      <c r="D32">
        <f>COUNTIFS($B$2:$B$20,"&gt;"&amp;100,$B$2:$B$20,"&lt;="&amp;150)</f>
        <v>3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2" x14ac:dyDescent="0.25">
      <c r="A33" t="s">
        <v>35</v>
      </c>
      <c r="B33" s="3">
        <f>SUMIFS($B$2:$B$20,$B$2:$B$20,"&gt;"&amp;150,$B$2:$B$20,"&lt;="&amp;250)</f>
        <v>250</v>
      </c>
      <c r="C33">
        <v>500</v>
      </c>
      <c r="D33">
        <f>COUNTIFS($B$2:$B$20,"&gt;"&amp;150,$B$2:$B$20,"&lt;="&amp;250)</f>
        <v>1</v>
      </c>
      <c r="V33"/>
    </row>
    <row r="34" spans="1:22" x14ac:dyDescent="0.25">
      <c r="A34" t="s">
        <v>36</v>
      </c>
      <c r="B34" s="3">
        <f>SUMIFS($B$2:$B$20,$B$2:$B$20,"&gt;"&amp;250,$B$2:$B$20,"&lt;="&amp;500)</f>
        <v>500</v>
      </c>
      <c r="C34">
        <v>500</v>
      </c>
      <c r="D34">
        <f>COUNTIFS($B$2:$B$20,"&gt;"&amp;250,$B$2:$B$20,"&lt;="&amp;500)</f>
        <v>1</v>
      </c>
      <c r="V34"/>
    </row>
    <row r="35" spans="1:22" x14ac:dyDescent="0.25">
      <c r="V35"/>
    </row>
    <row r="36" spans="1:22" x14ac:dyDescent="0.25">
      <c r="V36"/>
    </row>
    <row r="37" spans="1:22" x14ac:dyDescent="0.25">
      <c r="B37" s="5"/>
      <c r="V37"/>
    </row>
    <row r="38" spans="1:22" x14ac:dyDescent="0.25">
      <c r="V38"/>
    </row>
  </sheetData>
  <autoFilter ref="A1:B1" xr:uid="{D6DE8265-EE83-4349-B892-C9A2FE6A4DB2}"/>
  <pageMargins left="0.7" right="0.7" top="0.75" bottom="0.75" header="0.3" footer="0.3"/>
  <pageSetup scale="5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Personal Finance-raw data</vt:lpstr>
      <vt:lpstr>Personal Finance-Report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Longart</dc:creator>
  <cp:lastModifiedBy>Sofie Longart</cp:lastModifiedBy>
  <cp:lastPrinted>2025-12-22T05:28:07Z</cp:lastPrinted>
  <dcterms:created xsi:type="dcterms:W3CDTF">2025-12-21T23:14:38Z</dcterms:created>
  <dcterms:modified xsi:type="dcterms:W3CDTF">2025-12-29T23:15:32Z</dcterms:modified>
</cp:coreProperties>
</file>